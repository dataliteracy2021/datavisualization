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meshdevarshi.sharepoint.com/sites/TechBlog/Shared Documents/Data Literacy/Data Visualization - Power BI/data/"/>
    </mc:Choice>
  </mc:AlternateContent>
  <xr:revisionPtr revIDLastSave="516" documentId="8_{A19FB67D-4057-4FC5-8440-A744B5983AC3}" xr6:coauthVersionLast="47" xr6:coauthVersionMax="47" xr10:uidLastSave="{31E74A17-A38F-4091-93BB-01C629175234}"/>
  <bookViews>
    <workbookView xWindow="-108" yWindow="-108" windowWidth="22068" windowHeight="13176" xr2:uid="{DEBA4C1D-1E6A-4F1C-85C6-ED34A52D6723}"/>
  </bookViews>
  <sheets>
    <sheet name="Sheet1" sheetId="3" r:id="rId1"/>
    <sheet name="Raw" sheetId="1" r:id="rId2"/>
  </sheets>
  <definedNames>
    <definedName name="_xlnm._FilterDatabase" localSheetId="1" hidden="1">Raw!$A$1:$K$38</definedName>
    <definedName name="_xlnm._FilterDatabase" localSheetId="0" hidden="1">Sheet1!$A$1:$J$38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3" l="1"/>
  <c r="I38" i="3"/>
  <c r="H38" i="3"/>
  <c r="G38" i="3"/>
  <c r="F38" i="3"/>
  <c r="E38" i="3"/>
  <c r="D38" i="3"/>
  <c r="J37" i="3"/>
  <c r="I37" i="3"/>
  <c r="H37" i="3"/>
  <c r="G37" i="3"/>
  <c r="F37" i="3"/>
  <c r="E37" i="3"/>
  <c r="D37" i="3"/>
  <c r="J36" i="3"/>
  <c r="I36" i="3"/>
  <c r="H36" i="3"/>
  <c r="G36" i="3"/>
  <c r="F36" i="3"/>
  <c r="E36" i="3"/>
  <c r="D36" i="3"/>
  <c r="J35" i="3"/>
  <c r="I35" i="3"/>
  <c r="H35" i="3"/>
  <c r="G35" i="3"/>
  <c r="F35" i="3"/>
  <c r="E35" i="3"/>
  <c r="D35" i="3"/>
  <c r="J34" i="3"/>
  <c r="I34" i="3"/>
  <c r="H34" i="3"/>
  <c r="G34" i="3"/>
  <c r="F34" i="3"/>
  <c r="E34" i="3"/>
  <c r="D34" i="3"/>
  <c r="J33" i="3"/>
  <c r="I33" i="3"/>
  <c r="H33" i="3"/>
  <c r="G33" i="3"/>
  <c r="F33" i="3"/>
  <c r="E33" i="3"/>
  <c r="D33" i="3"/>
  <c r="J32" i="3"/>
  <c r="I32" i="3"/>
  <c r="H32" i="3"/>
  <c r="G32" i="3"/>
  <c r="F32" i="3"/>
  <c r="E32" i="3"/>
  <c r="D32" i="3"/>
  <c r="J31" i="3"/>
  <c r="I31" i="3"/>
  <c r="H31" i="3"/>
  <c r="G31" i="3"/>
  <c r="F31" i="3"/>
  <c r="E31" i="3"/>
  <c r="D31" i="3"/>
  <c r="J30" i="3"/>
  <c r="I30" i="3"/>
  <c r="H30" i="3"/>
  <c r="G30" i="3"/>
  <c r="F30" i="3"/>
  <c r="E30" i="3"/>
  <c r="D30" i="3"/>
  <c r="J29" i="3"/>
  <c r="I29" i="3"/>
  <c r="H29" i="3"/>
  <c r="G29" i="3"/>
  <c r="F29" i="3"/>
  <c r="E29" i="3"/>
  <c r="D29" i="3"/>
  <c r="J28" i="3"/>
  <c r="I28" i="3"/>
  <c r="H28" i="3"/>
  <c r="G28" i="3"/>
  <c r="F28" i="3"/>
  <c r="E28" i="3"/>
  <c r="D28" i="3"/>
  <c r="J27" i="3"/>
  <c r="I27" i="3"/>
  <c r="H27" i="3"/>
  <c r="G27" i="3"/>
  <c r="F27" i="3"/>
  <c r="E27" i="3"/>
  <c r="D27" i="3"/>
  <c r="J26" i="3"/>
  <c r="I26" i="3"/>
  <c r="H26" i="3"/>
  <c r="G26" i="3"/>
  <c r="F26" i="3"/>
  <c r="E26" i="3"/>
  <c r="D26" i="3"/>
  <c r="J25" i="3"/>
  <c r="I25" i="3"/>
  <c r="H25" i="3"/>
  <c r="G25" i="3"/>
  <c r="F25" i="3"/>
  <c r="E25" i="3"/>
  <c r="D25" i="3"/>
  <c r="J24" i="3"/>
  <c r="I24" i="3"/>
  <c r="H24" i="3"/>
  <c r="G24" i="3"/>
  <c r="F24" i="3"/>
  <c r="E24" i="3"/>
  <c r="D24" i="3"/>
  <c r="J23" i="3"/>
  <c r="I23" i="3"/>
  <c r="H23" i="3"/>
  <c r="G23" i="3"/>
  <c r="F23" i="3"/>
  <c r="E23" i="3"/>
  <c r="D23" i="3"/>
  <c r="J22" i="3"/>
  <c r="I22" i="3"/>
  <c r="H22" i="3"/>
  <c r="G22" i="3"/>
  <c r="F22" i="3"/>
  <c r="E22" i="3"/>
  <c r="D22" i="3"/>
  <c r="J21" i="3"/>
  <c r="I21" i="3"/>
  <c r="H21" i="3"/>
  <c r="G21" i="3"/>
  <c r="F21" i="3"/>
  <c r="E21" i="3"/>
  <c r="D21" i="3"/>
  <c r="J20" i="3"/>
  <c r="I20" i="3"/>
  <c r="H20" i="3"/>
  <c r="G20" i="3"/>
  <c r="F20" i="3"/>
  <c r="E20" i="3"/>
  <c r="D20" i="3"/>
  <c r="J19" i="3"/>
  <c r="I19" i="3"/>
  <c r="H19" i="3"/>
  <c r="G19" i="3"/>
  <c r="F19" i="3"/>
  <c r="E19" i="3"/>
  <c r="D19" i="3"/>
  <c r="J18" i="3"/>
  <c r="I18" i="3"/>
  <c r="H18" i="3"/>
  <c r="G18" i="3"/>
  <c r="F18" i="3"/>
  <c r="E18" i="3"/>
  <c r="D18" i="3"/>
  <c r="J17" i="3"/>
  <c r="I17" i="3"/>
  <c r="H17" i="3"/>
  <c r="G17" i="3"/>
  <c r="F17" i="3"/>
  <c r="E17" i="3"/>
  <c r="D17" i="3"/>
  <c r="J16" i="3"/>
  <c r="I16" i="3"/>
  <c r="H16" i="3"/>
  <c r="G16" i="3"/>
  <c r="F16" i="3"/>
  <c r="E16" i="3"/>
  <c r="D16" i="3"/>
  <c r="J15" i="3"/>
  <c r="I15" i="3"/>
  <c r="H15" i="3"/>
  <c r="G15" i="3"/>
  <c r="F15" i="3"/>
  <c r="E15" i="3"/>
  <c r="D15" i="3"/>
  <c r="J14" i="3"/>
  <c r="I14" i="3"/>
  <c r="H14" i="3"/>
  <c r="G14" i="3"/>
  <c r="F14" i="3"/>
  <c r="E14" i="3"/>
  <c r="D14" i="3"/>
  <c r="J13" i="3"/>
  <c r="I13" i="3"/>
  <c r="H13" i="3"/>
  <c r="G13" i="3"/>
  <c r="F13" i="3"/>
  <c r="E13" i="3"/>
  <c r="D13" i="3"/>
  <c r="J12" i="3"/>
  <c r="I12" i="3"/>
  <c r="H12" i="3"/>
  <c r="G12" i="3"/>
  <c r="F12" i="3"/>
  <c r="E12" i="3"/>
  <c r="D12" i="3"/>
  <c r="J11" i="3"/>
  <c r="I11" i="3"/>
  <c r="H11" i="3"/>
  <c r="G11" i="3"/>
  <c r="F11" i="3"/>
  <c r="E11" i="3"/>
  <c r="D11" i="3"/>
  <c r="J10" i="3"/>
  <c r="I10" i="3"/>
  <c r="H10" i="3"/>
  <c r="G10" i="3"/>
  <c r="F10" i="3"/>
  <c r="E10" i="3"/>
  <c r="D10" i="3"/>
  <c r="J9" i="3"/>
  <c r="I9" i="3"/>
  <c r="H9" i="3"/>
  <c r="G9" i="3"/>
  <c r="F9" i="3"/>
  <c r="E9" i="3"/>
  <c r="D9" i="3"/>
  <c r="J8" i="3"/>
  <c r="I8" i="3"/>
  <c r="H8" i="3"/>
  <c r="G8" i="3"/>
  <c r="F8" i="3"/>
  <c r="E8" i="3"/>
  <c r="D8" i="3"/>
  <c r="J7" i="3"/>
  <c r="I7" i="3"/>
  <c r="H7" i="3"/>
  <c r="G7" i="3"/>
  <c r="F7" i="3"/>
  <c r="E7" i="3"/>
  <c r="D7" i="3"/>
  <c r="J6" i="3"/>
  <c r="I6" i="3"/>
  <c r="H6" i="3"/>
  <c r="G6" i="3"/>
  <c r="F6" i="3"/>
  <c r="E6" i="3"/>
  <c r="D6" i="3"/>
  <c r="J5" i="3"/>
  <c r="I5" i="3"/>
  <c r="H5" i="3"/>
  <c r="G5" i="3"/>
  <c r="F5" i="3"/>
  <c r="E5" i="3"/>
  <c r="D5" i="3"/>
  <c r="J4" i="3"/>
  <c r="I4" i="3"/>
  <c r="H4" i="3"/>
  <c r="G4" i="3"/>
  <c r="F4" i="3"/>
  <c r="E4" i="3"/>
  <c r="D4" i="3"/>
  <c r="J3" i="3"/>
  <c r="I3" i="3"/>
  <c r="H3" i="3"/>
  <c r="G3" i="3"/>
  <c r="F3" i="3"/>
  <c r="E3" i="3"/>
  <c r="D3" i="3"/>
  <c r="J2" i="3"/>
  <c r="I2" i="3"/>
  <c r="H2" i="3"/>
  <c r="G2" i="3"/>
  <c r="F2" i="3"/>
  <c r="E2" i="3"/>
  <c r="D2" i="3"/>
</calcChain>
</file>

<file path=xl/sharedStrings.xml><?xml version="1.0" encoding="utf-8"?>
<sst xmlns="http://schemas.openxmlformats.org/spreadsheetml/2006/main" count="318" uniqueCount="97">
  <si>
    <t>Company Name</t>
  </si>
  <si>
    <t>Tata Steel</t>
  </si>
  <si>
    <t>JSW Steel</t>
  </si>
  <si>
    <t>UPL</t>
  </si>
  <si>
    <t>Nestle India</t>
  </si>
  <si>
    <t>ITC</t>
  </si>
  <si>
    <t>BPCL</t>
  </si>
  <si>
    <t>TCS</t>
  </si>
  <si>
    <t>Tata Motors</t>
  </si>
  <si>
    <t>Coal India Ltd</t>
  </si>
  <si>
    <t>NTPC</t>
  </si>
  <si>
    <t>Bajaj Auto</t>
  </si>
  <si>
    <t>Hero MotoCorp</t>
  </si>
  <si>
    <t>Tech Mahindra</t>
  </si>
  <si>
    <t>M&amp;M</t>
  </si>
  <si>
    <t>ONGC</t>
  </si>
  <si>
    <t>Symbol</t>
  </si>
  <si>
    <t>TATASTEEL</t>
  </si>
  <si>
    <t>JSWSTEEL</t>
  </si>
  <si>
    <t>HINDALCO</t>
  </si>
  <si>
    <t>NESTLEIND</t>
  </si>
  <si>
    <t>POWERGRID</t>
  </si>
  <si>
    <t>ASIANPAINT</t>
  </si>
  <si>
    <t>SUNPHARMA</t>
  </si>
  <si>
    <t>LT</t>
  </si>
  <si>
    <t>DIVISLAB</t>
  </si>
  <si>
    <t>BRITANNIA</t>
  </si>
  <si>
    <t>TATACONSUM</t>
  </si>
  <si>
    <t>HCLTECH</t>
  </si>
  <si>
    <t>HINDUNILVR</t>
  </si>
  <si>
    <t>DRREDDY</t>
  </si>
  <si>
    <t>WIPRO</t>
  </si>
  <si>
    <t>TATAMOTORS</t>
  </si>
  <si>
    <t>COALINDIA</t>
  </si>
  <si>
    <t>INFY</t>
  </si>
  <si>
    <t>BAJAJ-AUTO</t>
  </si>
  <si>
    <t>EICHERMOT</t>
  </si>
  <si>
    <t>IOC</t>
  </si>
  <si>
    <t>HEROMOTOCO</t>
  </si>
  <si>
    <t>GRASIM</t>
  </si>
  <si>
    <t>TECHM</t>
  </si>
  <si>
    <t>ULTRACEMCO</t>
  </si>
  <si>
    <t>CIPLA</t>
  </si>
  <si>
    <t>SHREECEM</t>
  </si>
  <si>
    <t>RELIANCE</t>
  </si>
  <si>
    <t>MARUTI</t>
  </si>
  <si>
    <t>TITAN</t>
  </si>
  <si>
    <t>Industry</t>
  </si>
  <si>
    <t>Tata Consultancy Services Ltd</t>
  </si>
  <si>
    <t>Information Technology</t>
  </si>
  <si>
    <t>Reliance Industries Ltd</t>
  </si>
  <si>
    <t>Energy Sector</t>
  </si>
  <si>
    <t>Hindustan Unilever</t>
  </si>
  <si>
    <t>Consumer Goods</t>
  </si>
  <si>
    <t>Infosys Ltd</t>
  </si>
  <si>
    <t>Larsen &amp; Toubro Ltd</t>
  </si>
  <si>
    <t>Engineering</t>
  </si>
  <si>
    <t>Maruti Suzuki India</t>
  </si>
  <si>
    <t>Automobile</t>
  </si>
  <si>
    <t>Oil &amp; Natural Gas Corporation</t>
  </si>
  <si>
    <t>Asian Paints Ltd</t>
  </si>
  <si>
    <t>Wipro Ltd</t>
  </si>
  <si>
    <t>HCL Technologies Ltd</t>
  </si>
  <si>
    <t>Metals &amp; Mining</t>
  </si>
  <si>
    <t>Indian Oil Corporation Ltd</t>
  </si>
  <si>
    <t>NTPC Ltd</t>
  </si>
  <si>
    <t>Ultratech Cement</t>
  </si>
  <si>
    <t>Cement Sector</t>
  </si>
  <si>
    <t>Power Grid Corporation Of India Ltd</t>
  </si>
  <si>
    <t>Sun Pharmaceutical Industries</t>
  </si>
  <si>
    <t>Pharma sector</t>
  </si>
  <si>
    <t>Titan Company Ltd</t>
  </si>
  <si>
    <t>Bharat Petroleum Corporation Ltd</t>
  </si>
  <si>
    <t>Mahindra &amp; Mahindra</t>
  </si>
  <si>
    <t>Britannia Industries</t>
  </si>
  <si>
    <t>Divis Laboratories Ltd</t>
  </si>
  <si>
    <t>Grasim Industries</t>
  </si>
  <si>
    <t>Dr. Reddys Laboratories Ltd</t>
  </si>
  <si>
    <t>UPL Ltd</t>
  </si>
  <si>
    <t>Fertilizer</t>
  </si>
  <si>
    <t>Hindalco Industries</t>
  </si>
  <si>
    <t>Cipla Ltd</t>
  </si>
  <si>
    <t>Shree Cement</t>
  </si>
  <si>
    <t>Cement sector</t>
  </si>
  <si>
    <t>Tata Consumer Products Ltd</t>
  </si>
  <si>
    <t>Eicher Motors Ltd</t>
  </si>
  <si>
    <t>Profit</t>
  </si>
  <si>
    <t>Total Cost</t>
  </si>
  <si>
    <t>Total Current Assets</t>
  </si>
  <si>
    <t>Total tax paid</t>
  </si>
  <si>
    <t>Unit</t>
  </si>
  <si>
    <t>Crore</t>
  </si>
  <si>
    <t>Cash</t>
  </si>
  <si>
    <t>Inventories</t>
  </si>
  <si>
    <t>Revenue</t>
  </si>
  <si>
    <t>million</t>
  </si>
  <si>
    <t>Total Tax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</si>
</sst>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15A6-13C4-41CD-893C-8DC0F4F278F8}">
  <dimension ref="A1:K38"/>
  <sheetViews>
    <sheetView tabSelected="1" topLeftCell="B1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 activeCell="K2" sqref="K2"/>
    </sheetView>
  </sheetViews>
  <sheetFormatPr defaultRowHeight="14.4" x14ac:dyDescent="0.3"/>
  <cols>
    <col min="1" max="1" width="16.5546875" customWidth="1"/>
    <col min="2" max="2" width="34.6640625" customWidth="1"/>
    <col min="3" max="3" width="14.109375" customWidth="1"/>
    <col min="4" max="4" width="18.77734375" customWidth="1"/>
    <col min="5" max="5" width="16.33203125" bestFit="1" customWidth="1"/>
    <col min="6" max="6" width="18.109375" customWidth="1"/>
    <col min="7" max="7" width="15.33203125" bestFit="1" customWidth="1"/>
    <col min="8" max="8" width="20.88671875" customWidth="1"/>
    <col min="9" max="9" width="15.33203125" bestFit="1" customWidth="1"/>
    <col min="10" max="10" width="24.6640625" customWidth="1"/>
    <col min="11" max="11" width="12.109375" bestFit="1" customWidth="1"/>
  </cols>
  <sheetData>
    <row r="1" spans="1:11" ht="15.6" x14ac:dyDescent="0.3">
      <c r="A1" t="s">
        <v>16</v>
      </c>
      <c r="B1" s="3" t="s">
        <v>0</v>
      </c>
      <c r="C1" s="3" t="s">
        <v>47</v>
      </c>
      <c r="D1" s="3" t="s">
        <v>94</v>
      </c>
      <c r="E1" s="3" t="s">
        <v>87</v>
      </c>
      <c r="F1" s="3" t="s">
        <v>96</v>
      </c>
      <c r="G1" s="3" t="s">
        <v>86</v>
      </c>
      <c r="H1" s="3" t="s">
        <v>93</v>
      </c>
      <c r="I1" s="3" t="s">
        <v>92</v>
      </c>
      <c r="J1" s="3" t="s">
        <v>88</v>
      </c>
      <c r="K1" s="3" t="s">
        <v>90</v>
      </c>
    </row>
    <row r="2" spans="1:11" x14ac:dyDescent="0.3">
      <c r="A2" t="s">
        <v>32</v>
      </c>
      <c r="B2" t="s">
        <v>8</v>
      </c>
      <c r="C2" t="s">
        <v>58</v>
      </c>
      <c r="D2" s="1">
        <f>Raw!D2*10</f>
        <v>478744.3</v>
      </c>
      <c r="E2" s="1">
        <f>Raw!E2*10</f>
        <v>515790.80000000005</v>
      </c>
      <c r="F2" s="1">
        <f>Raw!F2*10</f>
        <v>828.7</v>
      </c>
      <c r="G2" s="1">
        <f>Raw!G2*10</f>
        <v>-23954.400000000001</v>
      </c>
      <c r="H2" s="1">
        <f>Raw!H2*10</f>
        <v>45517.1</v>
      </c>
      <c r="I2" s="1">
        <f>Raw!I2*10</f>
        <v>43189.399999999994</v>
      </c>
      <c r="J2" s="1">
        <f>Raw!J2*10</f>
        <v>158545.9</v>
      </c>
      <c r="K2" t="s">
        <v>95</v>
      </c>
    </row>
    <row r="3" spans="1:11" x14ac:dyDescent="0.3">
      <c r="A3" t="s">
        <v>35</v>
      </c>
      <c r="B3" t="s">
        <v>11</v>
      </c>
      <c r="C3" t="s">
        <v>58</v>
      </c>
      <c r="D3" s="1">
        <f>Raw!D3*10</f>
        <v>290175.40000000002</v>
      </c>
      <c r="E3" s="1">
        <f>Raw!E3*10</f>
        <v>230785.40000000002</v>
      </c>
      <c r="F3" s="1">
        <f>Raw!F3*10</f>
        <v>13844.1</v>
      </c>
      <c r="G3" s="1">
        <f>Raw!G3*10</f>
        <v>45545.9</v>
      </c>
      <c r="H3" s="1">
        <f>Raw!H3*10</f>
        <v>14938.900000000001</v>
      </c>
      <c r="I3" s="1">
        <f>Raw!I3*10</f>
        <v>5273.6</v>
      </c>
      <c r="J3" s="1">
        <f>Raw!J3*10</f>
        <v>141751.29999999999</v>
      </c>
      <c r="K3" t="s">
        <v>95</v>
      </c>
    </row>
    <row r="4" spans="1:11" x14ac:dyDescent="0.3">
      <c r="A4" t="s">
        <v>36</v>
      </c>
      <c r="B4" t="s">
        <v>85</v>
      </c>
      <c r="C4" t="s">
        <v>58</v>
      </c>
      <c r="D4" s="1">
        <f>Raw!D4*10</f>
        <v>86190.400000000009</v>
      </c>
      <c r="E4" s="1">
        <f>Raw!E4*10</f>
        <v>72785.600000000006</v>
      </c>
      <c r="F4" s="1">
        <f>Raw!F4*10</f>
        <v>4536.1000000000004</v>
      </c>
      <c r="G4" s="1">
        <f>Raw!G4*10</f>
        <v>13297</v>
      </c>
      <c r="H4" s="1">
        <f>Raw!H4*10</f>
        <v>7691.3</v>
      </c>
      <c r="I4" s="1">
        <f>Raw!I4*10</f>
        <v>57989.1</v>
      </c>
      <c r="J4" s="1">
        <f>Raw!J4*10</f>
        <v>87476.900000000009</v>
      </c>
      <c r="K4" t="s">
        <v>95</v>
      </c>
    </row>
    <row r="5" spans="1:11" x14ac:dyDescent="0.3">
      <c r="A5" t="s">
        <v>38</v>
      </c>
      <c r="B5" t="s">
        <v>12</v>
      </c>
      <c r="C5" t="s">
        <v>58</v>
      </c>
      <c r="D5" s="1">
        <f>Raw!D5*10</f>
        <v>313804.7</v>
      </c>
      <c r="E5" s="1">
        <f>Raw!E5*10</f>
        <v>274800.90000000002</v>
      </c>
      <c r="F5" s="1">
        <f>Raw!F5*10</f>
        <v>9361.7999999999993</v>
      </c>
      <c r="G5" s="1">
        <f>Raw!G5*10</f>
        <v>29642</v>
      </c>
      <c r="H5" s="1">
        <f>Raw!H5*10</f>
        <v>14695.5</v>
      </c>
      <c r="I5" s="1">
        <f>Raw!I5*10</f>
        <v>2571.5</v>
      </c>
      <c r="J5" s="1">
        <f>Raw!J5*10</f>
        <v>109527.90000000001</v>
      </c>
      <c r="K5" t="s">
        <v>95</v>
      </c>
    </row>
    <row r="6" spans="1:11" x14ac:dyDescent="0.3">
      <c r="A6" t="s">
        <v>14</v>
      </c>
      <c r="B6" t="s">
        <v>73</v>
      </c>
      <c r="C6" t="s">
        <v>58</v>
      </c>
      <c r="D6" s="1">
        <f>Raw!D6*10</f>
        <v>462622.9</v>
      </c>
      <c r="E6" s="1">
        <f>Raw!E6*10</f>
        <v>411589.4</v>
      </c>
      <c r="F6" s="1">
        <f>Raw!F6*10</f>
        <v>11916.199999999999</v>
      </c>
      <c r="G6" s="1">
        <f>Raw!G6*10</f>
        <v>2484.6</v>
      </c>
      <c r="H6" s="1">
        <f>Raw!H6*10</f>
        <v>39554.699999999997</v>
      </c>
      <c r="I6" s="1">
        <f>Raw!I6*10</f>
        <v>62554.2</v>
      </c>
      <c r="J6" s="1">
        <f>Raw!J6*10</f>
        <v>203123</v>
      </c>
      <c r="K6" t="s">
        <v>95</v>
      </c>
    </row>
    <row r="7" spans="1:11" x14ac:dyDescent="0.3">
      <c r="A7" t="s">
        <v>45</v>
      </c>
      <c r="B7" t="s">
        <v>57</v>
      </c>
      <c r="C7" t="s">
        <v>58</v>
      </c>
      <c r="D7" s="1">
        <f>Raw!D7*10</f>
        <v>733368</v>
      </c>
      <c r="E7" s="1">
        <f>Raw!E7*10</f>
        <v>681774</v>
      </c>
      <c r="F7" s="1">
        <f>Raw!F7*10</f>
        <v>9297</v>
      </c>
      <c r="G7" s="1">
        <f>Raw!G7*10</f>
        <v>42297</v>
      </c>
      <c r="H7" s="1">
        <f>Raw!H7*10</f>
        <v>30500</v>
      </c>
      <c r="I7" s="1">
        <f>Raw!I7*10</f>
        <v>30364</v>
      </c>
      <c r="J7" s="1">
        <f>Raw!J7*10</f>
        <v>185267</v>
      </c>
      <c r="K7" t="s">
        <v>95</v>
      </c>
    </row>
    <row r="8" spans="1:11" x14ac:dyDescent="0.3">
      <c r="A8" t="s">
        <v>39</v>
      </c>
      <c r="B8" t="s">
        <v>76</v>
      </c>
      <c r="C8" t="s">
        <v>67</v>
      </c>
      <c r="D8" s="1">
        <f>Raw!D8*10</f>
        <v>129000.40000000001</v>
      </c>
      <c r="E8" s="1">
        <f>Raw!E8*10</f>
        <v>118861.6</v>
      </c>
      <c r="F8" s="1">
        <f>Raw!F8*10</f>
        <v>1224.4000000000001</v>
      </c>
      <c r="G8" s="1">
        <f>Raw!G8*10</f>
        <v>9050</v>
      </c>
      <c r="H8" s="1">
        <f>Raw!H8*10</f>
        <v>21789.899999999998</v>
      </c>
      <c r="I8" s="1">
        <f>Raw!I8*10</f>
        <v>1326.9</v>
      </c>
      <c r="J8" s="1">
        <f>Raw!J8*10</f>
        <v>86382.299999999988</v>
      </c>
      <c r="K8" t="s">
        <v>95</v>
      </c>
    </row>
    <row r="9" spans="1:11" x14ac:dyDescent="0.3">
      <c r="A9" t="s">
        <v>41</v>
      </c>
      <c r="B9" t="s">
        <v>66</v>
      </c>
      <c r="C9" t="s">
        <v>67</v>
      </c>
      <c r="D9" s="1">
        <f>Raw!D9*10</f>
        <v>439770.19999999995</v>
      </c>
      <c r="E9" s="1">
        <f>Raw!E9*10</f>
        <v>359169.5</v>
      </c>
      <c r="F9" s="1">
        <f>Raw!F9*10</f>
        <v>25540</v>
      </c>
      <c r="G9" s="1">
        <f>Raw!G9*10</f>
        <v>53420.7</v>
      </c>
      <c r="H9" s="1">
        <f>Raw!H9*10</f>
        <v>37220.5</v>
      </c>
      <c r="I9" s="1">
        <f>Raw!I9*10</f>
        <v>18765.5</v>
      </c>
      <c r="J9" s="1">
        <f>Raw!J9*10</f>
        <v>229923.69999999998</v>
      </c>
      <c r="K9" t="s">
        <v>95</v>
      </c>
    </row>
    <row r="10" spans="1:11" x14ac:dyDescent="0.3">
      <c r="A10" t="s">
        <v>43</v>
      </c>
      <c r="B10" t="s">
        <v>82</v>
      </c>
      <c r="C10" t="s">
        <v>83</v>
      </c>
      <c r="D10" s="1">
        <f>Raw!D10*10</f>
        <v>130463.9</v>
      </c>
      <c r="E10" s="1">
        <f>Raw!E10*10</f>
        <v>100206.7</v>
      </c>
      <c r="F10" s="1">
        <f>Raw!F10*10</f>
        <v>30257.199999999997</v>
      </c>
      <c r="G10" s="1">
        <f>Raw!G10*10</f>
        <v>23119.3</v>
      </c>
      <c r="H10" s="1">
        <f>Raw!H10*10</f>
        <v>14771.7</v>
      </c>
      <c r="I10" s="1">
        <f>Raw!I10*10</f>
        <v>2097.6</v>
      </c>
      <c r="J10" s="1">
        <f>Raw!J10*10</f>
        <v>71994.600000000006</v>
      </c>
      <c r="K10" t="s">
        <v>95</v>
      </c>
    </row>
    <row r="11" spans="1:11" x14ac:dyDescent="0.3">
      <c r="A11" t="s">
        <v>22</v>
      </c>
      <c r="B11" t="s">
        <v>60</v>
      </c>
      <c r="C11" t="s">
        <v>53</v>
      </c>
      <c r="D11" s="1">
        <f>Raw!D11*10</f>
        <v>188831.8</v>
      </c>
      <c r="E11" s="1">
        <f>Raw!E11*10</f>
        <v>147928</v>
      </c>
      <c r="F11" s="1">
        <f>Raw!F11*10</f>
        <v>10378.699999999999</v>
      </c>
      <c r="G11" s="1">
        <f>Raw!G11*10</f>
        <v>30525.100000000002</v>
      </c>
      <c r="H11" s="1">
        <f>Raw!H11*10</f>
        <v>31246.100000000002</v>
      </c>
      <c r="I11" s="1">
        <f>Raw!I11*10</f>
        <v>1349.1</v>
      </c>
      <c r="J11" s="1">
        <f>Raw!J11*10</f>
        <v>99565.400000000009</v>
      </c>
      <c r="K11" t="s">
        <v>95</v>
      </c>
    </row>
    <row r="12" spans="1:11" x14ac:dyDescent="0.3">
      <c r="A12" t="s">
        <v>5</v>
      </c>
      <c r="B12" t="s">
        <v>5</v>
      </c>
      <c r="C12" t="s">
        <v>53</v>
      </c>
      <c r="D12" s="1">
        <f>Raw!D12*10</f>
        <v>487361</v>
      </c>
      <c r="E12" s="1">
        <f>Raw!E12*10</f>
        <v>315719.5</v>
      </c>
      <c r="F12" s="1">
        <f>Raw!F12*10</f>
        <v>42296.6</v>
      </c>
      <c r="G12" s="1">
        <f>Raw!G12*10</f>
        <v>129344.9</v>
      </c>
      <c r="H12" s="1">
        <f>Raw!H12*10</f>
        <v>94708.700000000012</v>
      </c>
      <c r="I12" s="1">
        <f>Raw!I12*10</f>
        <v>40015</v>
      </c>
      <c r="J12" s="1">
        <f>Raw!J12*10</f>
        <v>318154.19999999995</v>
      </c>
      <c r="K12" t="s">
        <v>95</v>
      </c>
    </row>
    <row r="13" spans="1:11" x14ac:dyDescent="0.3">
      <c r="A13" t="s">
        <v>26</v>
      </c>
      <c r="B13" t="s">
        <v>74</v>
      </c>
      <c r="C13" t="s">
        <v>53</v>
      </c>
      <c r="D13" s="1">
        <f>Raw!D13*10</f>
        <v>126716.20000000001</v>
      </c>
      <c r="E13" s="1">
        <f>Raw!E13*10</f>
        <v>102921.8</v>
      </c>
      <c r="F13" s="1">
        <f>Raw!F13*10</f>
        <v>6194.0999999999995</v>
      </c>
      <c r="G13" s="1">
        <f>Raw!G13*10</f>
        <v>17600.3</v>
      </c>
      <c r="H13" s="1">
        <f>Raw!H13*10</f>
        <v>9912.7999999999993</v>
      </c>
      <c r="I13" s="1">
        <f>Raw!I13*10</f>
        <v>1108</v>
      </c>
      <c r="J13" s="1">
        <f>Raw!J13*10</f>
        <v>40149.299999999996</v>
      </c>
      <c r="K13" t="s">
        <v>95</v>
      </c>
    </row>
    <row r="14" spans="1:11" x14ac:dyDescent="0.3">
      <c r="A14" t="s">
        <v>27</v>
      </c>
      <c r="B14" t="s">
        <v>84</v>
      </c>
      <c r="C14" t="s">
        <v>53</v>
      </c>
      <c r="D14" s="1">
        <f>Raw!D14*10</f>
        <v>72873.7</v>
      </c>
      <c r="E14" s="1">
        <f>Raw!E14*10</f>
        <v>63901.3</v>
      </c>
      <c r="F14" s="1">
        <f>Raw!F14*10</f>
        <v>2166.3000000000002</v>
      </c>
      <c r="G14" s="1">
        <f>Raw!G14*10</f>
        <v>6195.1</v>
      </c>
      <c r="H14" s="1">
        <f>Raw!H14*10</f>
        <v>14083.699999999999</v>
      </c>
      <c r="I14" s="1">
        <f>Raw!I14*10</f>
        <v>16136.900000000001</v>
      </c>
      <c r="J14" s="1">
        <f>Raw!J14*10</f>
        <v>38555</v>
      </c>
      <c r="K14" t="s">
        <v>95</v>
      </c>
    </row>
    <row r="15" spans="1:11" x14ac:dyDescent="0.3">
      <c r="A15" t="s">
        <v>29</v>
      </c>
      <c r="B15" t="s">
        <v>52</v>
      </c>
      <c r="C15" t="s">
        <v>53</v>
      </c>
      <c r="D15" s="1">
        <f>Raw!D15*10</f>
        <v>465090</v>
      </c>
      <c r="E15" s="1">
        <f>Raw!E15*10</f>
        <v>357920</v>
      </c>
      <c r="F15" s="1">
        <f>Raw!F15*10</f>
        <v>25360</v>
      </c>
      <c r="G15" s="1">
        <f>Raw!G15*10</f>
        <v>79540</v>
      </c>
      <c r="H15" s="1">
        <f>Raw!H15*10</f>
        <v>33830</v>
      </c>
      <c r="I15" s="1">
        <f>Raw!I15*10</f>
        <v>43210</v>
      </c>
      <c r="J15" s="1">
        <f>Raw!J15*10</f>
        <v>136400</v>
      </c>
      <c r="K15" t="s">
        <v>95</v>
      </c>
    </row>
    <row r="16" spans="1:11" x14ac:dyDescent="0.3">
      <c r="A16" t="s">
        <v>46</v>
      </c>
      <c r="B16" t="s">
        <v>71</v>
      </c>
      <c r="C16" t="s">
        <v>53</v>
      </c>
      <c r="D16" s="1">
        <f>Raw!D16*10</f>
        <v>206020</v>
      </c>
      <c r="E16" s="1">
        <f>Raw!E16*10</f>
        <v>192320</v>
      </c>
      <c r="F16" s="1">
        <f>Raw!F16*10</f>
        <v>3560</v>
      </c>
      <c r="G16" s="1">
        <f>Raw!G16*10</f>
        <v>8770</v>
      </c>
      <c r="H16" s="1">
        <f>Raw!H16*10</f>
        <v>79839.799999999988</v>
      </c>
      <c r="I16" s="1">
        <f>Raw!I16*10</f>
        <v>5124.7000000000007</v>
      </c>
      <c r="J16" s="1">
        <f>Raw!J16*10</f>
        <v>125008.5</v>
      </c>
      <c r="K16" t="s">
        <v>95</v>
      </c>
    </row>
    <row r="17" spans="1:11" x14ac:dyDescent="0.3">
      <c r="A17" t="s">
        <v>21</v>
      </c>
      <c r="B17" t="s">
        <v>68</v>
      </c>
      <c r="C17" t="s">
        <v>51</v>
      </c>
      <c r="D17" s="1">
        <f>Raw!D17*10</f>
        <v>405271.1</v>
      </c>
      <c r="E17" s="1">
        <f>Raw!E17*10</f>
        <v>248224</v>
      </c>
      <c r="F17" s="1">
        <f>Raw!F17*10</f>
        <v>30891.399999999998</v>
      </c>
      <c r="G17" s="1">
        <f>Raw!G17*10</f>
        <v>119357.8</v>
      </c>
      <c r="H17" s="1">
        <f>Raw!H17*10</f>
        <v>13628.199999999999</v>
      </c>
      <c r="I17" s="1">
        <f>Raw!I17*10</f>
        <v>52735.4</v>
      </c>
      <c r="J17" s="1">
        <f>Raw!J17*10</f>
        <v>356164.19999999995</v>
      </c>
      <c r="K17" t="s">
        <v>95</v>
      </c>
    </row>
    <row r="18" spans="1:11" x14ac:dyDescent="0.3">
      <c r="A18" t="s">
        <v>6</v>
      </c>
      <c r="B18" t="s">
        <v>72</v>
      </c>
      <c r="C18" t="s">
        <v>51</v>
      </c>
      <c r="D18" s="1">
        <f>Raw!D18*10</f>
        <v>2368895.7000000002</v>
      </c>
      <c r="E18" s="1">
        <f>Raw!E18*10</f>
        <v>2207209</v>
      </c>
      <c r="F18" s="1">
        <f>Raw!F18*10</f>
        <v>35759.1</v>
      </c>
      <c r="G18" s="1">
        <f>Raw!G18*10</f>
        <v>190416.69999999998</v>
      </c>
      <c r="H18" s="1">
        <f>Raw!H18*10</f>
        <v>267567.5</v>
      </c>
      <c r="I18" s="1">
        <f>Raw!I18*10</f>
        <v>70534.899999999994</v>
      </c>
      <c r="J18" s="1">
        <f>Raw!J18*10</f>
        <v>509623</v>
      </c>
      <c r="K18" t="s">
        <v>95</v>
      </c>
    </row>
    <row r="19" spans="1:11" x14ac:dyDescent="0.3">
      <c r="A19" t="s">
        <v>37</v>
      </c>
      <c r="B19" t="s">
        <v>64</v>
      </c>
      <c r="C19" t="s">
        <v>51</v>
      </c>
      <c r="D19" s="1">
        <f>Raw!D19*10</f>
        <v>3826083.3000000003</v>
      </c>
      <c r="E19" s="1">
        <f>Raw!E19*10</f>
        <v>3528926.8</v>
      </c>
      <c r="F19" s="1">
        <f>Raw!F19*10</f>
        <v>78796.099999999991</v>
      </c>
      <c r="G19" s="1">
        <f>Raw!G19*10</f>
        <v>218360.40000000002</v>
      </c>
      <c r="H19" s="1">
        <f>Raw!H19*10</f>
        <v>781880.1</v>
      </c>
      <c r="I19" s="1">
        <f>Raw!I19*10</f>
        <v>16682.7</v>
      </c>
      <c r="J19" s="1">
        <f>Raw!J19*10</f>
        <v>1099848.8999999999</v>
      </c>
      <c r="K19" t="s">
        <v>95</v>
      </c>
    </row>
    <row r="20" spans="1:11" x14ac:dyDescent="0.3">
      <c r="A20" t="s">
        <v>10</v>
      </c>
      <c r="B20" t="s">
        <v>65</v>
      </c>
      <c r="C20" t="s">
        <v>51</v>
      </c>
      <c r="D20" s="1">
        <f>Raw!D20*10</f>
        <v>1035527.1000000001</v>
      </c>
      <c r="E20" s="1">
        <f>Raw!E20*10</f>
        <v>882741.9</v>
      </c>
      <c r="F20" s="1">
        <f>Raw!F20*10</f>
        <v>19253.900000000001</v>
      </c>
      <c r="G20" s="1">
        <f>Raw!G20*10</f>
        <v>137695.20000000001</v>
      </c>
      <c r="H20" s="1">
        <f>Raw!H20*10</f>
        <v>91789.400000000009</v>
      </c>
      <c r="I20" s="1">
        <f>Raw!I20*10</f>
        <v>23384.6</v>
      </c>
      <c r="J20" s="1">
        <f>Raw!J20*10</f>
        <v>587294</v>
      </c>
      <c r="K20" t="s">
        <v>95</v>
      </c>
    </row>
    <row r="21" spans="1:11" x14ac:dyDescent="0.3">
      <c r="A21" t="s">
        <v>44</v>
      </c>
      <c r="B21" t="s">
        <v>50</v>
      </c>
      <c r="C21" t="s">
        <v>51</v>
      </c>
      <c r="D21" s="1">
        <f>Raw!D21*10</f>
        <v>2604850</v>
      </c>
      <c r="E21" s="1">
        <f>Raw!E21*10</f>
        <v>2375770</v>
      </c>
      <c r="F21" s="1">
        <f>Raw!F21*10</f>
        <v>-47320</v>
      </c>
      <c r="G21" s="1">
        <f>Raw!G21*10</f>
        <v>319440</v>
      </c>
      <c r="H21" s="1">
        <f>Raw!H21*10</f>
        <v>374370</v>
      </c>
      <c r="I21" s="1">
        <f>Raw!I21*10</f>
        <v>55730</v>
      </c>
      <c r="J21" s="1">
        <f>Raw!J21*10</f>
        <v>2107190</v>
      </c>
      <c r="K21" t="s">
        <v>95</v>
      </c>
    </row>
    <row r="22" spans="1:11" x14ac:dyDescent="0.3">
      <c r="A22" t="s">
        <v>15</v>
      </c>
      <c r="B22" t="s">
        <v>59</v>
      </c>
      <c r="C22" t="s">
        <v>51</v>
      </c>
      <c r="D22" s="1">
        <f>Raw!D22*10</f>
        <v>752836</v>
      </c>
      <c r="E22" s="1">
        <f>Raw!E22*10</f>
        <v>164027.90000000002</v>
      </c>
      <c r="F22" s="1">
        <f>Raw!F22*10</f>
        <v>51563.5</v>
      </c>
      <c r="G22" s="1">
        <f>Raw!G22*10</f>
        <v>112464.40000000001</v>
      </c>
      <c r="H22" s="1">
        <f>Raw!H22*10</f>
        <v>84744.7</v>
      </c>
      <c r="I22" s="1">
        <f>Raw!I22*10</f>
        <v>3025.5</v>
      </c>
      <c r="J22" s="1">
        <f>Raw!J22*10</f>
        <v>317774.5</v>
      </c>
      <c r="K22" t="s">
        <v>95</v>
      </c>
    </row>
    <row r="23" spans="1:11" x14ac:dyDescent="0.3">
      <c r="A23" t="s">
        <v>24</v>
      </c>
      <c r="B23" t="s">
        <v>55</v>
      </c>
      <c r="C23" t="s">
        <v>56</v>
      </c>
      <c r="D23" s="1">
        <f>Raw!D23*10</f>
        <v>767510.3</v>
      </c>
      <c r="E23" s="1">
        <f>Raw!E23*10</f>
        <v>694946.1</v>
      </c>
      <c r="F23" s="1">
        <f>Raw!F23*10</f>
        <v>17512.8</v>
      </c>
      <c r="G23" s="1">
        <f>Raw!G23*10</f>
        <v>113369.7</v>
      </c>
      <c r="H23" s="1">
        <f>Raw!H23*10</f>
        <v>28585.599999999999</v>
      </c>
      <c r="I23" s="1">
        <f>Raw!I23*10</f>
        <v>37632.800000000003</v>
      </c>
      <c r="J23" s="1">
        <f>Raw!J23*10</f>
        <v>1036317.8999999999</v>
      </c>
      <c r="K23" t="s">
        <v>95</v>
      </c>
    </row>
    <row r="24" spans="1:11" x14ac:dyDescent="0.3">
      <c r="A24" t="s">
        <v>3</v>
      </c>
      <c r="B24" t="s">
        <v>78</v>
      </c>
      <c r="C24" t="s">
        <v>79</v>
      </c>
      <c r="D24" s="1">
        <f>Raw!D24*10</f>
        <v>114580</v>
      </c>
      <c r="E24" s="1">
        <f>Raw!E24*10</f>
        <v>110090</v>
      </c>
      <c r="F24" s="1">
        <f>Raw!F24*10</f>
        <v>2140</v>
      </c>
      <c r="G24" s="1">
        <f>Raw!G24*10</f>
        <v>2200</v>
      </c>
      <c r="H24" s="1">
        <f>Raw!H24*10</f>
        <v>19430</v>
      </c>
      <c r="I24" s="1">
        <f>Raw!I24*10</f>
        <v>3340</v>
      </c>
      <c r="J24" s="1">
        <f>Raw!J24*10</f>
        <v>72570</v>
      </c>
      <c r="K24" t="s">
        <v>95</v>
      </c>
    </row>
    <row r="25" spans="1:11" x14ac:dyDescent="0.3">
      <c r="A25" t="s">
        <v>20</v>
      </c>
      <c r="B25" t="s">
        <v>4</v>
      </c>
      <c r="C25" t="s">
        <v>53</v>
      </c>
      <c r="D25" s="1">
        <f>Raw!D25*10</f>
        <v>134958.79999999999</v>
      </c>
      <c r="E25" s="1">
        <f>Raw!E25*10</f>
        <v>106830.9</v>
      </c>
      <c r="F25" s="1">
        <f>Raw!F25*10</f>
        <v>7303.6</v>
      </c>
      <c r="G25" s="1">
        <f>Raw!G25*10</f>
        <v>20824.3</v>
      </c>
      <c r="H25" s="1">
        <f>Raw!H25*10</f>
        <v>14164.8</v>
      </c>
      <c r="I25" s="1">
        <f>Raw!I25*10</f>
        <v>17698.699999999997</v>
      </c>
      <c r="J25" s="1">
        <f>Raw!J25*10</f>
        <v>41850.800000000003</v>
      </c>
      <c r="K25" t="s">
        <v>95</v>
      </c>
    </row>
    <row r="26" spans="1:11" x14ac:dyDescent="0.3">
      <c r="A26" t="s">
        <v>7</v>
      </c>
      <c r="B26" t="s">
        <v>48</v>
      </c>
      <c r="C26" t="s">
        <v>49</v>
      </c>
      <c r="D26" s="1">
        <f>Raw!D26*10</f>
        <v>1413630</v>
      </c>
      <c r="E26" s="1">
        <f>Raw!E26*10</f>
        <v>992430</v>
      </c>
      <c r="F26" s="1">
        <f>Raw!F26*10</f>
        <v>99420</v>
      </c>
      <c r="G26" s="1">
        <f>Raw!G26*10</f>
        <v>309600</v>
      </c>
      <c r="H26" s="1">
        <f>Raw!H26*10</f>
        <v>70</v>
      </c>
      <c r="I26" s="1">
        <f>Raw!I26*10</f>
        <v>31420</v>
      </c>
      <c r="J26" s="1">
        <f>Raw!J26*10</f>
        <v>831600</v>
      </c>
      <c r="K26" t="s">
        <v>95</v>
      </c>
    </row>
    <row r="27" spans="1:11" x14ac:dyDescent="0.3">
      <c r="A27" t="s">
        <v>28</v>
      </c>
      <c r="B27" t="s">
        <v>62</v>
      </c>
      <c r="C27" t="s">
        <v>49</v>
      </c>
      <c r="D27" s="1">
        <f>Raw!D27*10</f>
        <v>366380</v>
      </c>
      <c r="E27" s="1">
        <f>Raw!E27*10</f>
        <v>242280</v>
      </c>
      <c r="F27" s="1">
        <f>Raw!F27*10</f>
        <v>36670</v>
      </c>
      <c r="G27" s="1">
        <f>Raw!G27*10</f>
        <v>87430</v>
      </c>
      <c r="H27" s="1">
        <f>Raw!H27*10</f>
        <v>180</v>
      </c>
      <c r="I27" s="1">
        <f>Raw!I27*10</f>
        <v>50560</v>
      </c>
      <c r="J27" s="1">
        <f>Raw!J27*10</f>
        <v>277140</v>
      </c>
      <c r="K27" t="s">
        <v>95</v>
      </c>
    </row>
    <row r="28" spans="1:11" x14ac:dyDescent="0.3">
      <c r="A28" t="s">
        <v>31</v>
      </c>
      <c r="B28" t="s">
        <v>61</v>
      </c>
      <c r="C28" t="s">
        <v>49</v>
      </c>
      <c r="D28" s="1">
        <f>Raw!D28*10</f>
        <v>526823</v>
      </c>
      <c r="E28" s="1">
        <f>Raw!E28*10</f>
        <v>399975</v>
      </c>
      <c r="F28" s="1">
        <f>Raw!F28*10</f>
        <v>26239</v>
      </c>
      <c r="G28" s="1">
        <f>Raw!G28*10</f>
        <v>100609</v>
      </c>
      <c r="H28" s="1">
        <f>Raw!H28*10</f>
        <v>910</v>
      </c>
      <c r="I28" s="1">
        <f>Raw!I28*10</f>
        <v>97832</v>
      </c>
      <c r="J28" s="1">
        <f>Raw!J28*10</f>
        <v>453795</v>
      </c>
      <c r="K28" t="s">
        <v>95</v>
      </c>
    </row>
    <row r="29" spans="1:11" x14ac:dyDescent="0.3">
      <c r="A29" t="s">
        <v>34</v>
      </c>
      <c r="B29" t="s">
        <v>54</v>
      </c>
      <c r="C29" t="s">
        <v>49</v>
      </c>
      <c r="D29" s="1">
        <f>Raw!D29*10</f>
        <v>883790</v>
      </c>
      <c r="E29" s="1">
        <f>Raw!E29*10</f>
        <v>639020</v>
      </c>
      <c r="F29" s="1">
        <f>Raw!F29*10</f>
        <v>64290</v>
      </c>
      <c r="G29" s="1">
        <f>Raw!G29*10</f>
        <v>180480</v>
      </c>
      <c r="H29" s="1">
        <f>Raw!H29*10</f>
        <v>0</v>
      </c>
      <c r="I29" s="1">
        <f>Raw!I29*10</f>
        <v>176120</v>
      </c>
      <c r="J29" s="1">
        <f>Raw!J29*10</f>
        <v>482820</v>
      </c>
      <c r="K29" t="s">
        <v>95</v>
      </c>
    </row>
    <row r="30" spans="1:11" x14ac:dyDescent="0.3">
      <c r="A30" t="s">
        <v>40</v>
      </c>
      <c r="B30" t="s">
        <v>13</v>
      </c>
      <c r="C30" t="s">
        <v>49</v>
      </c>
      <c r="D30" s="1">
        <f>Raw!D30*10</f>
        <v>305627</v>
      </c>
      <c r="E30" s="1">
        <f>Raw!E30*10</f>
        <v>250361</v>
      </c>
      <c r="F30" s="1">
        <f>Raw!F30*10</f>
        <v>12875</v>
      </c>
      <c r="G30" s="1">
        <f>Raw!G30*10</f>
        <v>42391</v>
      </c>
      <c r="H30" s="1">
        <f>Raw!H30*10</f>
        <v>0</v>
      </c>
      <c r="I30" s="1">
        <f>Raw!I30*10</f>
        <v>10501</v>
      </c>
      <c r="J30" s="1">
        <f>Raw!J30*10</f>
        <v>200202</v>
      </c>
      <c r="K30" t="s">
        <v>95</v>
      </c>
    </row>
    <row r="31" spans="1:11" x14ac:dyDescent="0.3">
      <c r="A31" t="s">
        <v>17</v>
      </c>
      <c r="B31" t="s">
        <v>1</v>
      </c>
      <c r="C31" t="s">
        <v>63</v>
      </c>
      <c r="D31" s="1">
        <f>Raw!D31*10</f>
        <v>655068.9</v>
      </c>
      <c r="E31" s="1">
        <f>Raw!E31*10</f>
        <v>504848.1</v>
      </c>
      <c r="F31" s="1">
        <f>Raw!F31*10</f>
        <v>41885.100000000006</v>
      </c>
      <c r="G31" s="1">
        <f>Raw!G31*10</f>
        <v>136066.20000000001</v>
      </c>
      <c r="H31" s="1">
        <f>Raw!H31*10</f>
        <v>86037.900000000009</v>
      </c>
      <c r="I31" s="1">
        <f>Raw!I31*10</f>
        <v>16717.099999999999</v>
      </c>
      <c r="J31" s="1">
        <f>Raw!J31*10</f>
        <v>237563</v>
      </c>
      <c r="K31" t="s">
        <v>95</v>
      </c>
    </row>
    <row r="32" spans="1:11" x14ac:dyDescent="0.3">
      <c r="A32" t="s">
        <v>18</v>
      </c>
      <c r="B32" t="s">
        <v>2</v>
      </c>
      <c r="C32" t="s">
        <v>63</v>
      </c>
      <c r="D32" s="1">
        <f>Raw!D32*10</f>
        <v>713960</v>
      </c>
      <c r="E32" s="1">
        <f>Raw!E32*10</f>
        <v>588140</v>
      </c>
      <c r="F32" s="1">
        <f>Raw!F32*10</f>
        <v>38030</v>
      </c>
      <c r="G32" s="1">
        <f>Raw!G32*10</f>
        <v>83930</v>
      </c>
      <c r="H32" s="1">
        <f>Raw!H32*10</f>
        <v>106920</v>
      </c>
      <c r="I32" s="1">
        <f>Raw!I32*10</f>
        <v>117460</v>
      </c>
      <c r="J32" s="1">
        <f>Raw!J32*10</f>
        <v>297030</v>
      </c>
      <c r="K32" t="s">
        <v>95</v>
      </c>
    </row>
    <row r="33" spans="1:11" x14ac:dyDescent="0.3">
      <c r="A33" t="s">
        <v>19</v>
      </c>
      <c r="B33" t="s">
        <v>80</v>
      </c>
      <c r="C33" t="s">
        <v>63</v>
      </c>
      <c r="D33" s="1">
        <f>Raw!D33*10</f>
        <v>433510</v>
      </c>
      <c r="E33" s="1">
        <f>Raw!E33*10</f>
        <v>417840</v>
      </c>
      <c r="F33" s="1">
        <f>Raw!F33*10</f>
        <v>5810</v>
      </c>
      <c r="G33" s="1">
        <f>Raw!G33*10</f>
        <v>9930</v>
      </c>
      <c r="H33" s="1">
        <f>Raw!H33*10</f>
        <v>159890</v>
      </c>
      <c r="I33" s="1">
        <f>Raw!I33*10</f>
        <v>10190</v>
      </c>
      <c r="J33" s="1">
        <f>Raw!J33*10</f>
        <v>282080</v>
      </c>
      <c r="K33" t="s">
        <v>95</v>
      </c>
    </row>
    <row r="34" spans="1:11" x14ac:dyDescent="0.3">
      <c r="A34" t="s">
        <v>33</v>
      </c>
      <c r="B34" t="s">
        <v>9</v>
      </c>
      <c r="C34" t="s">
        <v>63</v>
      </c>
      <c r="D34" s="1">
        <f>Raw!D34*10</f>
        <v>83194.3</v>
      </c>
      <c r="E34" s="1">
        <f>Raw!E34*10</f>
        <v>6454.5</v>
      </c>
      <c r="F34" s="1">
        <f>Raw!F34*10</f>
        <v>338.8</v>
      </c>
      <c r="G34" s="1">
        <f>Raw!G34*10</f>
        <v>76401</v>
      </c>
      <c r="H34" s="1">
        <f>Raw!H34*10</f>
        <v>10</v>
      </c>
      <c r="I34" s="1">
        <f>Raw!I34*10</f>
        <v>2302.7000000000003</v>
      </c>
      <c r="J34" s="1">
        <f>Raw!J34*10</f>
        <v>42038.2</v>
      </c>
      <c r="K34" t="s">
        <v>95</v>
      </c>
    </row>
    <row r="35" spans="1:11" x14ac:dyDescent="0.3">
      <c r="A35" t="s">
        <v>23</v>
      </c>
      <c r="B35" t="s">
        <v>69</v>
      </c>
      <c r="C35" t="s">
        <v>70</v>
      </c>
      <c r="D35" s="1">
        <f>Raw!D35*10</f>
        <v>129534.3</v>
      </c>
      <c r="E35" s="1">
        <f>Raw!E35*10</f>
        <v>107110</v>
      </c>
      <c r="F35" s="1">
        <f>Raw!F35*10</f>
        <v>131.69999999999999</v>
      </c>
      <c r="G35" s="1">
        <f>Raw!G35*10</f>
        <v>21397</v>
      </c>
      <c r="H35" s="1">
        <f>Raw!H35*10</f>
        <v>31657.199999999997</v>
      </c>
      <c r="I35" s="1">
        <f>Raw!I35*10</f>
        <v>2322.6</v>
      </c>
      <c r="J35" s="1">
        <f>Raw!J35*10</f>
        <v>120663.4</v>
      </c>
      <c r="K35" t="s">
        <v>95</v>
      </c>
    </row>
    <row r="36" spans="1:11" x14ac:dyDescent="0.3">
      <c r="A36" t="s">
        <v>30</v>
      </c>
      <c r="B36" t="s">
        <v>77</v>
      </c>
      <c r="C36" t="s">
        <v>70</v>
      </c>
      <c r="D36" s="1">
        <f>Raw!D36*10</f>
        <v>141648</v>
      </c>
      <c r="E36" s="1">
        <f>Raw!E36*10</f>
        <v>111086</v>
      </c>
      <c r="F36" s="1">
        <f>Raw!F36*10</f>
        <v>8698</v>
      </c>
      <c r="G36" s="1">
        <f>Raw!G36*10</f>
        <v>21864</v>
      </c>
      <c r="H36" s="1">
        <f>Raw!H36*10</f>
        <v>28197</v>
      </c>
      <c r="I36" s="1">
        <f>Raw!I36*10</f>
        <v>13063</v>
      </c>
      <c r="J36" s="1">
        <f>Raw!J36*10</f>
        <v>111593</v>
      </c>
      <c r="K36" t="s">
        <v>95</v>
      </c>
    </row>
    <row r="37" spans="1:11" x14ac:dyDescent="0.3">
      <c r="A37" t="s">
        <v>42</v>
      </c>
      <c r="B37" t="s">
        <v>81</v>
      </c>
      <c r="C37" t="s">
        <v>70</v>
      </c>
      <c r="D37" s="1">
        <f>Raw!D37*10</f>
        <v>141308.6</v>
      </c>
      <c r="E37" s="1">
        <f>Raw!E37*10</f>
        <v>107802</v>
      </c>
      <c r="F37" s="1">
        <f>Raw!F37*10</f>
        <v>8823.7999999999993</v>
      </c>
      <c r="G37" s="1">
        <f>Raw!G37*10</f>
        <v>24682.800000000003</v>
      </c>
      <c r="H37" s="1">
        <f>Raw!H37*10</f>
        <v>30858.1</v>
      </c>
      <c r="I37" s="1">
        <f>Raw!I37*10</f>
        <v>8748</v>
      </c>
      <c r="J37" s="1">
        <f>Raw!J37*10</f>
        <v>101921.8</v>
      </c>
      <c r="K37" t="s">
        <v>95</v>
      </c>
    </row>
    <row r="38" spans="1:11" x14ac:dyDescent="0.3">
      <c r="A38" t="s">
        <v>25</v>
      </c>
      <c r="B38" t="s">
        <v>75</v>
      </c>
      <c r="C38" t="s">
        <v>70</v>
      </c>
      <c r="D38" s="1">
        <f>Raw!D38*10</f>
        <v>68611.400000000009</v>
      </c>
      <c r="E38" s="1">
        <f>Raw!E38*10</f>
        <v>42332.700000000004</v>
      </c>
      <c r="F38" s="1">
        <f>Raw!F38*10</f>
        <v>6731.5</v>
      </c>
      <c r="G38" s="1">
        <f>Raw!G38*10</f>
        <v>19547.2</v>
      </c>
      <c r="H38" s="1">
        <f>Raw!H38*10</f>
        <v>20427</v>
      </c>
      <c r="I38" s="1">
        <f>Raw!I38*10</f>
        <v>21420.100000000002</v>
      </c>
      <c r="J38" s="1">
        <f>Raw!J38*10</f>
        <v>61253.100000000006</v>
      </c>
      <c r="K38" t="s">
        <v>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A9F1-1CF7-4856-9899-76A5BC83CB6B}">
  <dimension ref="A1:K38"/>
  <sheetViews>
    <sheetView topLeftCell="B1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 activeCell="D2" sqref="D2"/>
    </sheetView>
  </sheetViews>
  <sheetFormatPr defaultRowHeight="14.4" x14ac:dyDescent="0.3"/>
  <cols>
    <col min="1" max="1" width="16.5546875" customWidth="1"/>
    <col min="2" max="2" width="34.6640625" customWidth="1"/>
    <col min="3" max="3" width="14.109375" customWidth="1"/>
    <col min="4" max="4" width="18.77734375" customWidth="1"/>
    <col min="5" max="5" width="13.77734375" customWidth="1"/>
    <col min="6" max="6" width="18.109375" customWidth="1"/>
    <col min="7" max="7" width="14.77734375" customWidth="1"/>
    <col min="8" max="8" width="20.88671875" customWidth="1"/>
    <col min="9" max="9" width="14.33203125" customWidth="1"/>
    <col min="10" max="10" width="24.6640625" customWidth="1"/>
  </cols>
  <sheetData>
    <row r="1" spans="1:11" ht="15.6" x14ac:dyDescent="0.3">
      <c r="A1" t="s">
        <v>16</v>
      </c>
      <c r="B1" s="3" t="s">
        <v>0</v>
      </c>
      <c r="C1" s="3" t="s">
        <v>47</v>
      </c>
      <c r="D1" s="3" t="s">
        <v>94</v>
      </c>
      <c r="E1" s="3" t="s">
        <v>87</v>
      </c>
      <c r="F1" s="3" t="s">
        <v>89</v>
      </c>
      <c r="G1" s="3" t="s">
        <v>86</v>
      </c>
      <c r="H1" s="3" t="s">
        <v>93</v>
      </c>
      <c r="I1" s="3" t="s">
        <v>92</v>
      </c>
      <c r="J1" s="3" t="s">
        <v>88</v>
      </c>
      <c r="K1" s="3" t="s">
        <v>90</v>
      </c>
    </row>
    <row r="2" spans="1:11" x14ac:dyDescent="0.3">
      <c r="A2" t="s">
        <v>32</v>
      </c>
      <c r="B2" t="s">
        <v>8</v>
      </c>
      <c r="C2" t="s">
        <v>58</v>
      </c>
      <c r="D2" s="2">
        <v>47874.43</v>
      </c>
      <c r="E2" s="2">
        <v>51579.08</v>
      </c>
      <c r="F2">
        <v>82.87</v>
      </c>
      <c r="G2" s="2">
        <v>-2395.44</v>
      </c>
      <c r="H2" s="2">
        <v>4551.71</v>
      </c>
      <c r="I2" s="2">
        <v>4318.9399999999996</v>
      </c>
      <c r="J2" s="2">
        <v>15854.59</v>
      </c>
      <c r="K2" t="s">
        <v>91</v>
      </c>
    </row>
    <row r="3" spans="1:11" x14ac:dyDescent="0.3">
      <c r="A3" t="s">
        <v>35</v>
      </c>
      <c r="B3" t="s">
        <v>11</v>
      </c>
      <c r="C3" t="s">
        <v>58</v>
      </c>
      <c r="D3" s="2">
        <v>29017.54</v>
      </c>
      <c r="E3" s="2">
        <v>23078.54</v>
      </c>
      <c r="F3" s="2">
        <v>1384.41</v>
      </c>
      <c r="G3" s="2">
        <v>4554.59</v>
      </c>
      <c r="H3" s="2">
        <v>1493.89</v>
      </c>
      <c r="I3" s="2">
        <v>527.36</v>
      </c>
      <c r="J3" s="2">
        <v>14175.13</v>
      </c>
      <c r="K3" t="s">
        <v>91</v>
      </c>
    </row>
    <row r="4" spans="1:11" x14ac:dyDescent="0.3">
      <c r="A4" t="s">
        <v>36</v>
      </c>
      <c r="B4" t="s">
        <v>85</v>
      </c>
      <c r="C4" t="s">
        <v>58</v>
      </c>
      <c r="D4" s="2">
        <v>8619.0400000000009</v>
      </c>
      <c r="E4" s="2">
        <v>7278.56</v>
      </c>
      <c r="F4" s="2">
        <v>453.61</v>
      </c>
      <c r="G4" s="2">
        <v>1329.7</v>
      </c>
      <c r="H4" s="2">
        <v>769.13</v>
      </c>
      <c r="I4" s="2">
        <v>5798.91</v>
      </c>
      <c r="J4" s="2">
        <v>8747.69</v>
      </c>
      <c r="K4" t="s">
        <v>91</v>
      </c>
    </row>
    <row r="5" spans="1:11" x14ac:dyDescent="0.3">
      <c r="A5" t="s">
        <v>38</v>
      </c>
      <c r="B5" t="s">
        <v>12</v>
      </c>
      <c r="C5" t="s">
        <v>58</v>
      </c>
      <c r="D5" s="2">
        <v>31380.47</v>
      </c>
      <c r="E5" s="2">
        <v>27480.09</v>
      </c>
      <c r="F5">
        <v>936.18</v>
      </c>
      <c r="G5" s="2">
        <v>2964.2</v>
      </c>
      <c r="H5" s="2">
        <v>1469.55</v>
      </c>
      <c r="I5" s="2">
        <v>257.14999999999998</v>
      </c>
      <c r="J5" s="2">
        <v>10952.79</v>
      </c>
      <c r="K5" t="s">
        <v>91</v>
      </c>
    </row>
    <row r="6" spans="1:11" x14ac:dyDescent="0.3">
      <c r="A6" t="s">
        <v>14</v>
      </c>
      <c r="B6" t="s">
        <v>73</v>
      </c>
      <c r="C6" t="s">
        <v>58</v>
      </c>
      <c r="D6" s="2">
        <v>46262.29</v>
      </c>
      <c r="E6" s="2">
        <v>41158.94</v>
      </c>
      <c r="F6" s="2">
        <v>1191.6199999999999</v>
      </c>
      <c r="G6" s="2">
        <v>248.46</v>
      </c>
      <c r="H6" s="2">
        <v>3955.47</v>
      </c>
      <c r="I6" s="2">
        <v>6255.42</v>
      </c>
      <c r="J6" s="2">
        <v>20312.3</v>
      </c>
      <c r="K6" t="s">
        <v>91</v>
      </c>
    </row>
    <row r="7" spans="1:11" x14ac:dyDescent="0.3">
      <c r="A7" t="s">
        <v>45</v>
      </c>
      <c r="B7" t="s">
        <v>57</v>
      </c>
      <c r="C7" t="s">
        <v>58</v>
      </c>
      <c r="D7" s="2">
        <v>73336.800000000003</v>
      </c>
      <c r="E7" s="2">
        <v>68177.399999999994</v>
      </c>
      <c r="F7" s="2">
        <v>929.7</v>
      </c>
      <c r="G7" s="2">
        <v>4229.7</v>
      </c>
      <c r="H7" s="2">
        <v>3050</v>
      </c>
      <c r="I7" s="2">
        <v>3036.4</v>
      </c>
      <c r="J7" s="2">
        <v>18526.7</v>
      </c>
      <c r="K7" t="s">
        <v>91</v>
      </c>
    </row>
    <row r="8" spans="1:11" x14ac:dyDescent="0.3">
      <c r="A8" t="s">
        <v>39</v>
      </c>
      <c r="B8" t="s">
        <v>76</v>
      </c>
      <c r="C8" t="s">
        <v>67</v>
      </c>
      <c r="D8" s="2">
        <v>12900.04</v>
      </c>
      <c r="E8" s="2">
        <v>11886.16</v>
      </c>
      <c r="F8" s="2">
        <v>122.44</v>
      </c>
      <c r="G8" s="2">
        <v>905</v>
      </c>
      <c r="H8" s="2">
        <v>2178.9899999999998</v>
      </c>
      <c r="I8" s="2">
        <v>132.69</v>
      </c>
      <c r="J8" s="2">
        <v>8638.23</v>
      </c>
      <c r="K8" t="s">
        <v>91</v>
      </c>
    </row>
    <row r="9" spans="1:11" x14ac:dyDescent="0.3">
      <c r="A9" t="s">
        <v>41</v>
      </c>
      <c r="B9" t="s">
        <v>66</v>
      </c>
      <c r="C9" t="s">
        <v>67</v>
      </c>
      <c r="D9" s="2">
        <v>43977.02</v>
      </c>
      <c r="E9" s="2">
        <v>35916.949999999997</v>
      </c>
      <c r="F9" s="2">
        <v>2554</v>
      </c>
      <c r="G9" s="2">
        <v>5342.07</v>
      </c>
      <c r="H9" s="2">
        <v>3722.05</v>
      </c>
      <c r="I9" s="2">
        <v>1876.55</v>
      </c>
      <c r="J9" s="2">
        <v>22992.37</v>
      </c>
      <c r="K9" t="s">
        <v>91</v>
      </c>
    </row>
    <row r="10" spans="1:11" x14ac:dyDescent="0.3">
      <c r="A10" t="s">
        <v>43</v>
      </c>
      <c r="B10" t="s">
        <v>82</v>
      </c>
      <c r="C10" t="s">
        <v>83</v>
      </c>
      <c r="D10" s="2">
        <v>13046.39</v>
      </c>
      <c r="E10" s="2">
        <v>10020.67</v>
      </c>
      <c r="F10" s="2">
        <v>3025.72</v>
      </c>
      <c r="G10" s="2">
        <v>2311.9299999999998</v>
      </c>
      <c r="H10" s="2">
        <v>1477.17</v>
      </c>
      <c r="I10" s="2">
        <v>209.76</v>
      </c>
      <c r="J10" s="2">
        <v>7199.46</v>
      </c>
      <c r="K10" t="s">
        <v>91</v>
      </c>
    </row>
    <row r="11" spans="1:11" x14ac:dyDescent="0.3">
      <c r="A11" t="s">
        <v>22</v>
      </c>
      <c r="B11" t="s">
        <v>60</v>
      </c>
      <c r="C11" t="s">
        <v>53</v>
      </c>
      <c r="D11" s="2">
        <v>18883.18</v>
      </c>
      <c r="E11" s="2">
        <v>14792.8</v>
      </c>
      <c r="F11" s="2">
        <v>1037.8699999999999</v>
      </c>
      <c r="G11" s="2">
        <v>3052.51</v>
      </c>
      <c r="H11" s="2">
        <v>3124.61</v>
      </c>
      <c r="I11" s="2">
        <v>134.91</v>
      </c>
      <c r="J11" s="2">
        <v>9956.5400000000009</v>
      </c>
      <c r="K11" t="s">
        <v>91</v>
      </c>
    </row>
    <row r="12" spans="1:11" x14ac:dyDescent="0.3">
      <c r="A12" t="s">
        <v>5</v>
      </c>
      <c r="B12" t="s">
        <v>5</v>
      </c>
      <c r="C12" t="s">
        <v>53</v>
      </c>
      <c r="D12" s="2">
        <v>48736.1</v>
      </c>
      <c r="E12" s="2">
        <v>31571.95</v>
      </c>
      <c r="F12" s="2">
        <v>4229.66</v>
      </c>
      <c r="G12" s="2">
        <v>12934.49</v>
      </c>
      <c r="H12" s="2">
        <v>9470.8700000000008</v>
      </c>
      <c r="I12" s="2">
        <v>4001.5</v>
      </c>
      <c r="J12" s="2">
        <v>31815.42</v>
      </c>
      <c r="K12" t="s">
        <v>91</v>
      </c>
    </row>
    <row r="13" spans="1:11" x14ac:dyDescent="0.3">
      <c r="A13" t="s">
        <v>26</v>
      </c>
      <c r="B13" t="s">
        <v>74</v>
      </c>
      <c r="C13" t="s">
        <v>53</v>
      </c>
      <c r="D13" s="2">
        <v>12671.62</v>
      </c>
      <c r="E13" s="2">
        <v>10292.18</v>
      </c>
      <c r="F13" s="2">
        <v>619.41</v>
      </c>
      <c r="G13" s="2">
        <v>1760.03</v>
      </c>
      <c r="H13" s="2">
        <v>991.28</v>
      </c>
      <c r="I13" s="2">
        <v>110.8</v>
      </c>
      <c r="J13" s="2">
        <v>4014.93</v>
      </c>
      <c r="K13" t="s">
        <v>91</v>
      </c>
    </row>
    <row r="14" spans="1:11" x14ac:dyDescent="0.3">
      <c r="A14" t="s">
        <v>27</v>
      </c>
      <c r="B14" t="s">
        <v>84</v>
      </c>
      <c r="C14" t="s">
        <v>53</v>
      </c>
      <c r="D14" s="2">
        <v>7287.37</v>
      </c>
      <c r="E14" s="2">
        <v>6390.13</v>
      </c>
      <c r="F14" s="2">
        <v>216.63</v>
      </c>
      <c r="G14" s="2">
        <v>619.51</v>
      </c>
      <c r="H14" s="2">
        <v>1408.37</v>
      </c>
      <c r="I14" s="2">
        <v>1613.69</v>
      </c>
      <c r="J14" s="2">
        <v>3855.5</v>
      </c>
      <c r="K14" t="s">
        <v>91</v>
      </c>
    </row>
    <row r="15" spans="1:11" x14ac:dyDescent="0.3">
      <c r="A15" t="s">
        <v>29</v>
      </c>
      <c r="B15" t="s">
        <v>52</v>
      </c>
      <c r="C15" t="s">
        <v>53</v>
      </c>
      <c r="D15" s="2">
        <v>46509</v>
      </c>
      <c r="E15" s="2">
        <v>35792</v>
      </c>
      <c r="F15" s="2">
        <v>2536</v>
      </c>
      <c r="G15" s="2">
        <v>7954</v>
      </c>
      <c r="H15" s="2">
        <v>3383</v>
      </c>
      <c r="I15" s="2">
        <v>4321</v>
      </c>
      <c r="J15" s="2">
        <v>13640</v>
      </c>
      <c r="K15" t="s">
        <v>91</v>
      </c>
    </row>
    <row r="16" spans="1:11" x14ac:dyDescent="0.3">
      <c r="A16" t="s">
        <v>46</v>
      </c>
      <c r="B16" t="s">
        <v>71</v>
      </c>
      <c r="C16" t="s">
        <v>53</v>
      </c>
      <c r="D16" s="2">
        <v>20602</v>
      </c>
      <c r="E16" s="1">
        <v>19232</v>
      </c>
      <c r="F16" s="2">
        <v>356</v>
      </c>
      <c r="G16" s="2">
        <v>877</v>
      </c>
      <c r="H16" s="2">
        <v>7983.98</v>
      </c>
      <c r="I16" s="2">
        <v>512.47</v>
      </c>
      <c r="J16" s="2">
        <v>12500.85</v>
      </c>
      <c r="K16" t="s">
        <v>91</v>
      </c>
    </row>
    <row r="17" spans="1:11" x14ac:dyDescent="0.3">
      <c r="A17" t="s">
        <v>21</v>
      </c>
      <c r="B17" t="s">
        <v>68</v>
      </c>
      <c r="C17" t="s">
        <v>51</v>
      </c>
      <c r="D17" s="2">
        <v>40527.11</v>
      </c>
      <c r="E17" s="2">
        <v>24822.400000000001</v>
      </c>
      <c r="F17" s="2">
        <v>3089.14</v>
      </c>
      <c r="G17" s="2">
        <v>11935.78</v>
      </c>
      <c r="H17" s="2">
        <v>1362.82</v>
      </c>
      <c r="I17" s="2">
        <v>5273.54</v>
      </c>
      <c r="J17" s="2">
        <v>35616.42</v>
      </c>
      <c r="K17" t="s">
        <v>91</v>
      </c>
    </row>
    <row r="18" spans="1:11" x14ac:dyDescent="0.3">
      <c r="A18" t="s">
        <v>6</v>
      </c>
      <c r="B18" t="s">
        <v>72</v>
      </c>
      <c r="C18" t="s">
        <v>51</v>
      </c>
      <c r="D18" s="2">
        <v>236889.57</v>
      </c>
      <c r="E18" s="2">
        <v>220720.9</v>
      </c>
      <c r="F18" s="2">
        <v>3575.91</v>
      </c>
      <c r="G18" s="2">
        <v>19041.669999999998</v>
      </c>
      <c r="H18" s="2">
        <v>26756.75</v>
      </c>
      <c r="I18" s="2">
        <v>7053.49</v>
      </c>
      <c r="J18" s="2">
        <v>50962.3</v>
      </c>
      <c r="K18" t="s">
        <v>91</v>
      </c>
    </row>
    <row r="19" spans="1:11" x14ac:dyDescent="0.3">
      <c r="A19" t="s">
        <v>37</v>
      </c>
      <c r="B19" t="s">
        <v>64</v>
      </c>
      <c r="C19" t="s">
        <v>51</v>
      </c>
      <c r="D19" s="2">
        <v>382608.33</v>
      </c>
      <c r="E19" s="2">
        <v>352892.68</v>
      </c>
      <c r="F19" s="2">
        <v>7879.61</v>
      </c>
      <c r="G19" s="2">
        <v>21836.04</v>
      </c>
      <c r="H19" s="2">
        <v>78188.009999999995</v>
      </c>
      <c r="I19" s="2">
        <v>1668.27</v>
      </c>
      <c r="J19" s="2">
        <v>109984.89</v>
      </c>
      <c r="K19" t="s">
        <v>91</v>
      </c>
    </row>
    <row r="20" spans="1:11" x14ac:dyDescent="0.3">
      <c r="A20" t="s">
        <v>10</v>
      </c>
      <c r="B20" t="s">
        <v>65</v>
      </c>
      <c r="C20" t="s">
        <v>51</v>
      </c>
      <c r="D20" s="2">
        <v>103552.71</v>
      </c>
      <c r="E20" s="2">
        <v>88274.19</v>
      </c>
      <c r="F20" s="2">
        <v>1925.39</v>
      </c>
      <c r="G20" s="2">
        <v>13769.52</v>
      </c>
      <c r="H20" s="2">
        <v>9178.94</v>
      </c>
      <c r="I20" s="2">
        <v>2338.46</v>
      </c>
      <c r="J20" s="2">
        <v>58729.4</v>
      </c>
      <c r="K20" t="s">
        <v>91</v>
      </c>
    </row>
    <row r="21" spans="1:11" x14ac:dyDescent="0.3">
      <c r="A21" t="s">
        <v>44</v>
      </c>
      <c r="B21" t="s">
        <v>50</v>
      </c>
      <c r="C21" t="s">
        <v>51</v>
      </c>
      <c r="D21" s="2">
        <v>260485</v>
      </c>
      <c r="E21" s="2">
        <v>237577</v>
      </c>
      <c r="F21" s="2">
        <v>-4732</v>
      </c>
      <c r="G21" s="2">
        <v>31944</v>
      </c>
      <c r="H21" s="2">
        <v>37437</v>
      </c>
      <c r="I21" s="2">
        <v>5573</v>
      </c>
      <c r="J21" s="2">
        <v>210719</v>
      </c>
      <c r="K21" t="s">
        <v>91</v>
      </c>
    </row>
    <row r="22" spans="1:11" x14ac:dyDescent="0.3">
      <c r="A22" t="s">
        <v>15</v>
      </c>
      <c r="B22" t="s">
        <v>59</v>
      </c>
      <c r="C22" t="s">
        <v>51</v>
      </c>
      <c r="D22" s="2">
        <v>75283.600000000006</v>
      </c>
      <c r="E22" s="2">
        <v>16402.79</v>
      </c>
      <c r="F22" s="2">
        <v>5156.3500000000004</v>
      </c>
      <c r="G22" s="2">
        <v>11246.44</v>
      </c>
      <c r="H22" s="2">
        <v>8474.4699999999993</v>
      </c>
      <c r="I22" s="2">
        <v>302.55</v>
      </c>
      <c r="J22" s="2">
        <v>31777.45</v>
      </c>
      <c r="K22" t="s">
        <v>91</v>
      </c>
    </row>
    <row r="23" spans="1:11" x14ac:dyDescent="0.3">
      <c r="A23" t="s">
        <v>24</v>
      </c>
      <c r="B23" t="s">
        <v>55</v>
      </c>
      <c r="C23" t="s">
        <v>56</v>
      </c>
      <c r="D23" s="2">
        <v>76751.03</v>
      </c>
      <c r="E23" s="2">
        <v>69494.61</v>
      </c>
      <c r="F23" s="2">
        <v>1751.28</v>
      </c>
      <c r="G23" s="2">
        <v>11336.97</v>
      </c>
      <c r="H23" s="2">
        <v>2858.56</v>
      </c>
      <c r="I23" s="2">
        <v>3763.28</v>
      </c>
      <c r="J23" s="2">
        <v>103631.79</v>
      </c>
      <c r="K23" t="s">
        <v>91</v>
      </c>
    </row>
    <row r="24" spans="1:11" x14ac:dyDescent="0.3">
      <c r="A24" t="s">
        <v>3</v>
      </c>
      <c r="B24" t="s">
        <v>78</v>
      </c>
      <c r="C24" t="s">
        <v>79</v>
      </c>
      <c r="D24" s="2">
        <v>11458</v>
      </c>
      <c r="E24" s="2">
        <v>11009</v>
      </c>
      <c r="F24" s="2">
        <v>214</v>
      </c>
      <c r="G24" s="2">
        <v>220</v>
      </c>
      <c r="H24" s="2">
        <v>1943</v>
      </c>
      <c r="I24" s="2">
        <v>334</v>
      </c>
      <c r="J24" s="2">
        <v>7257</v>
      </c>
      <c r="K24" t="s">
        <v>91</v>
      </c>
    </row>
    <row r="25" spans="1:11" x14ac:dyDescent="0.3">
      <c r="A25" t="s">
        <v>20</v>
      </c>
      <c r="B25" t="s">
        <v>4</v>
      </c>
      <c r="C25" t="s">
        <v>53</v>
      </c>
      <c r="D25" s="2">
        <v>13495.88</v>
      </c>
      <c r="E25" s="2">
        <v>10683.09</v>
      </c>
      <c r="F25" s="2">
        <v>730.36</v>
      </c>
      <c r="G25" s="2">
        <v>2082.4299999999998</v>
      </c>
      <c r="H25" s="2">
        <v>1416.48</v>
      </c>
      <c r="I25" s="2">
        <v>1769.87</v>
      </c>
      <c r="J25" s="2">
        <v>4185.08</v>
      </c>
      <c r="K25" t="s">
        <v>91</v>
      </c>
    </row>
    <row r="26" spans="1:11" x14ac:dyDescent="0.3">
      <c r="A26" t="s">
        <v>7</v>
      </c>
      <c r="B26" t="s">
        <v>48</v>
      </c>
      <c r="C26" t="s">
        <v>49</v>
      </c>
      <c r="D26" s="2">
        <v>141363</v>
      </c>
      <c r="E26" s="2">
        <v>99243</v>
      </c>
      <c r="F26" s="2">
        <v>9942</v>
      </c>
      <c r="G26" s="2">
        <v>30960</v>
      </c>
      <c r="H26" s="2">
        <v>7</v>
      </c>
      <c r="I26" s="2">
        <v>3142</v>
      </c>
      <c r="J26" s="2">
        <v>83160</v>
      </c>
      <c r="K26" t="s">
        <v>91</v>
      </c>
    </row>
    <row r="27" spans="1:11" x14ac:dyDescent="0.3">
      <c r="A27" t="s">
        <v>28</v>
      </c>
      <c r="B27" t="s">
        <v>62</v>
      </c>
      <c r="C27" t="s">
        <v>49</v>
      </c>
      <c r="D27" s="2">
        <v>36638</v>
      </c>
      <c r="E27" s="2">
        <v>24228</v>
      </c>
      <c r="F27" s="2">
        <v>3667</v>
      </c>
      <c r="G27" s="2">
        <v>8743</v>
      </c>
      <c r="H27" s="2">
        <v>18</v>
      </c>
      <c r="I27" s="2">
        <v>5056</v>
      </c>
      <c r="J27" s="2">
        <v>27714</v>
      </c>
      <c r="K27" t="s">
        <v>91</v>
      </c>
    </row>
    <row r="28" spans="1:11" x14ac:dyDescent="0.3">
      <c r="A28" t="s">
        <v>31</v>
      </c>
      <c r="B28" t="s">
        <v>61</v>
      </c>
      <c r="C28" t="s">
        <v>49</v>
      </c>
      <c r="D28" s="2">
        <v>52682.3</v>
      </c>
      <c r="E28" s="2">
        <v>39997.5</v>
      </c>
      <c r="F28" s="2">
        <v>2623.9</v>
      </c>
      <c r="G28" s="2">
        <v>10060.9</v>
      </c>
      <c r="H28" s="2">
        <v>91</v>
      </c>
      <c r="I28" s="2">
        <v>9783.2000000000007</v>
      </c>
      <c r="J28" s="2">
        <v>45379.5</v>
      </c>
      <c r="K28" t="s">
        <v>91</v>
      </c>
    </row>
    <row r="29" spans="1:11" x14ac:dyDescent="0.3">
      <c r="A29" t="s">
        <v>34</v>
      </c>
      <c r="B29" t="s">
        <v>54</v>
      </c>
      <c r="C29" t="s">
        <v>49</v>
      </c>
      <c r="D29" s="2">
        <v>88379</v>
      </c>
      <c r="E29" s="2">
        <v>63902</v>
      </c>
      <c r="F29" s="2">
        <v>6429</v>
      </c>
      <c r="G29" s="2">
        <v>18048</v>
      </c>
      <c r="H29" s="2">
        <v>0</v>
      </c>
      <c r="I29" s="2">
        <v>17612</v>
      </c>
      <c r="J29" s="2">
        <v>48282</v>
      </c>
      <c r="K29" t="s">
        <v>91</v>
      </c>
    </row>
    <row r="30" spans="1:11" x14ac:dyDescent="0.3">
      <c r="A30" t="s">
        <v>40</v>
      </c>
      <c r="B30" t="s">
        <v>13</v>
      </c>
      <c r="C30" t="s">
        <v>49</v>
      </c>
      <c r="D30" s="2">
        <v>30562.7</v>
      </c>
      <c r="E30" s="2">
        <v>25036.1</v>
      </c>
      <c r="F30" s="2">
        <v>1287.5</v>
      </c>
      <c r="G30" s="2">
        <v>4239.1000000000004</v>
      </c>
      <c r="H30" s="2">
        <v>0</v>
      </c>
      <c r="I30" s="2">
        <v>1050.0999999999999</v>
      </c>
      <c r="J30" s="2">
        <v>20020.2</v>
      </c>
      <c r="K30" t="s">
        <v>91</v>
      </c>
    </row>
    <row r="31" spans="1:11" x14ac:dyDescent="0.3">
      <c r="A31" t="s">
        <v>17</v>
      </c>
      <c r="B31" t="s">
        <v>1</v>
      </c>
      <c r="C31" t="s">
        <v>63</v>
      </c>
      <c r="D31" s="2">
        <v>65506.89</v>
      </c>
      <c r="E31" s="2">
        <v>50484.81</v>
      </c>
      <c r="F31" s="2">
        <v>4188.51</v>
      </c>
      <c r="G31" s="2">
        <v>13606.62</v>
      </c>
      <c r="H31" s="2">
        <v>8603.7900000000009</v>
      </c>
      <c r="I31" s="2">
        <v>1671.71</v>
      </c>
      <c r="J31" s="2">
        <v>23756.3</v>
      </c>
      <c r="K31" t="s">
        <v>91</v>
      </c>
    </row>
    <row r="32" spans="1:11" x14ac:dyDescent="0.3">
      <c r="A32" t="s">
        <v>18</v>
      </c>
      <c r="B32" t="s">
        <v>2</v>
      </c>
      <c r="C32" t="s">
        <v>63</v>
      </c>
      <c r="D32" s="2">
        <v>71396</v>
      </c>
      <c r="E32" s="2">
        <v>58814</v>
      </c>
      <c r="F32" s="2">
        <v>3803</v>
      </c>
      <c r="G32" s="2">
        <v>8393</v>
      </c>
      <c r="H32" s="2">
        <v>10692</v>
      </c>
      <c r="I32" s="2">
        <v>11746</v>
      </c>
      <c r="J32" s="2">
        <v>29703</v>
      </c>
      <c r="K32" t="s">
        <v>91</v>
      </c>
    </row>
    <row r="33" spans="1:11" x14ac:dyDescent="0.3">
      <c r="A33" t="s">
        <v>19</v>
      </c>
      <c r="B33" t="s">
        <v>80</v>
      </c>
      <c r="C33" t="s">
        <v>63</v>
      </c>
      <c r="D33" s="2">
        <v>43351</v>
      </c>
      <c r="E33" s="2">
        <v>41784</v>
      </c>
      <c r="F33">
        <v>581</v>
      </c>
      <c r="G33">
        <v>993</v>
      </c>
      <c r="H33" s="2">
        <v>15989</v>
      </c>
      <c r="I33" s="2">
        <v>1019</v>
      </c>
      <c r="J33" s="2">
        <v>28208</v>
      </c>
      <c r="K33" t="s">
        <v>91</v>
      </c>
    </row>
    <row r="34" spans="1:11" x14ac:dyDescent="0.3">
      <c r="A34" t="s">
        <v>33</v>
      </c>
      <c r="B34" t="s">
        <v>9</v>
      </c>
      <c r="C34" t="s">
        <v>63</v>
      </c>
      <c r="D34" s="2">
        <v>8319.43</v>
      </c>
      <c r="E34" s="2">
        <v>645.45000000000005</v>
      </c>
      <c r="F34" s="2">
        <v>33.880000000000003</v>
      </c>
      <c r="G34" s="2">
        <v>7640.1</v>
      </c>
      <c r="H34" s="2">
        <v>1</v>
      </c>
      <c r="I34" s="2">
        <v>230.27</v>
      </c>
      <c r="J34" s="2">
        <v>4203.82</v>
      </c>
      <c r="K34" t="s">
        <v>91</v>
      </c>
    </row>
    <row r="35" spans="1:11" x14ac:dyDescent="0.3">
      <c r="A35" t="s">
        <v>23</v>
      </c>
      <c r="B35" t="s">
        <v>69</v>
      </c>
      <c r="C35" t="s">
        <v>70</v>
      </c>
      <c r="D35" s="2">
        <v>12953.43</v>
      </c>
      <c r="E35" s="2">
        <v>10711</v>
      </c>
      <c r="F35" s="2">
        <v>13.17</v>
      </c>
      <c r="G35" s="2">
        <v>2139.6999999999998</v>
      </c>
      <c r="H35" s="2">
        <v>3165.72</v>
      </c>
      <c r="I35" s="2">
        <v>232.26</v>
      </c>
      <c r="J35" s="2">
        <v>12066.34</v>
      </c>
      <c r="K35" t="s">
        <v>91</v>
      </c>
    </row>
    <row r="36" spans="1:11" x14ac:dyDescent="0.3">
      <c r="A36" t="s">
        <v>30</v>
      </c>
      <c r="B36" t="s">
        <v>77</v>
      </c>
      <c r="C36" t="s">
        <v>70</v>
      </c>
      <c r="D36" s="2">
        <v>14164.8</v>
      </c>
      <c r="E36" s="2">
        <v>11108.6</v>
      </c>
      <c r="F36" s="2">
        <v>869.8</v>
      </c>
      <c r="G36" s="2">
        <v>2186.4</v>
      </c>
      <c r="H36" s="2">
        <v>2819.7</v>
      </c>
      <c r="I36" s="2">
        <v>1306.3</v>
      </c>
      <c r="J36" s="2">
        <v>11159.3</v>
      </c>
      <c r="K36" t="s">
        <v>91</v>
      </c>
    </row>
    <row r="37" spans="1:11" x14ac:dyDescent="0.3">
      <c r="A37" t="s">
        <v>42</v>
      </c>
      <c r="B37" t="s">
        <v>81</v>
      </c>
      <c r="C37" t="s">
        <v>70</v>
      </c>
      <c r="D37" s="2">
        <v>14130.86</v>
      </c>
      <c r="E37" s="2">
        <v>10780.2</v>
      </c>
      <c r="F37" s="2">
        <v>882.38</v>
      </c>
      <c r="G37" s="2">
        <v>2468.2800000000002</v>
      </c>
      <c r="H37" s="2">
        <v>3085.81</v>
      </c>
      <c r="I37" s="2">
        <v>874.8</v>
      </c>
      <c r="J37" s="2">
        <v>10192.18</v>
      </c>
      <c r="K37" t="s">
        <v>91</v>
      </c>
    </row>
    <row r="38" spans="1:11" x14ac:dyDescent="0.3">
      <c r="A38" t="s">
        <v>25</v>
      </c>
      <c r="B38" t="s">
        <v>75</v>
      </c>
      <c r="C38" t="s">
        <v>70</v>
      </c>
      <c r="D38" s="2">
        <v>6861.14</v>
      </c>
      <c r="E38" s="2">
        <v>4233.2700000000004</v>
      </c>
      <c r="F38" s="2">
        <v>673.15</v>
      </c>
      <c r="G38" s="2">
        <v>1954.72</v>
      </c>
      <c r="H38" s="2">
        <v>2042.7</v>
      </c>
      <c r="I38" s="2">
        <v>2142.0100000000002</v>
      </c>
      <c r="J38" s="2">
        <v>6125.31</v>
      </c>
      <c r="K38" t="s">
        <v>91</v>
      </c>
    </row>
  </sheetData>
  <autoFilter ref="A1:K38" xr:uid="{0417A9F1-1CF7-4856-9899-76A5BC83CB6B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E12AF42AB1264F8EBB0BD2869FB534" ma:contentTypeVersion="4" ma:contentTypeDescription="Create a new document." ma:contentTypeScope="" ma:versionID="e18545c3a2207483714422ee8433733d">
  <xsd:schema xmlns:xsd="http://www.w3.org/2001/XMLSchema" xmlns:xs="http://www.w3.org/2001/XMLSchema" xmlns:p="http://schemas.microsoft.com/office/2006/metadata/properties" xmlns:ns2="fa4f82a9-71ef-43ec-abb6-e3ea412cca2c" targetNamespace="http://schemas.microsoft.com/office/2006/metadata/properties" ma:root="true" ma:fieldsID="4ea5a6c935f001b39b4fa8720259bdbc" ns2:_="">
    <xsd:import namespace="fa4f82a9-71ef-43ec-abb6-e3ea412cca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f82a9-71ef-43ec-abb6-e3ea412cca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B5C828-B2DB-4D83-B877-607CAA76CD7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D60FD9E-9869-46AA-AF90-06A77A06C3F7}"/>
</file>

<file path=customXml/itemProps3.xml><?xml version="1.0" encoding="utf-8"?>
<ds:datastoreItem xmlns:ds="http://schemas.openxmlformats.org/officeDocument/2006/customXml" ds:itemID="{DDAAB74C-B84B-4B0B-85EE-2950D66458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techblog</dc:creator>
  <cp:lastModifiedBy>Animesh Devarshi</cp:lastModifiedBy>
  <dcterms:created xsi:type="dcterms:W3CDTF">2021-07-07T16:55:14Z</dcterms:created>
  <dcterms:modified xsi:type="dcterms:W3CDTF">2021-07-14T16:44:55Z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0x010100EFE12AF42AB1264F8EBB0BD2869FB534</vt:lpwstr>
  </property>
</Properties>
</file>